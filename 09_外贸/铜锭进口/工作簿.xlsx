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<sst xmlns="http://schemas.openxmlformats.org/spreadsheetml/2006/main" count="79" uniqueCount="64">
  <si>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 xml:space="preserve"> </t>
  </si>
  <si>
    <t>数据透视表模板（推荐设置）</t>
  </si>
  <si>
    <t>及自动生成报告功能</t>
  </si>
  <si>
    <t>以下为《铜锭进口业务流程记录表》的数据透视表模板 + 自动生成报告功能的完整方案。</t>
  </si>
  <si>
    <t>1. 数据透视表模板（推荐设置）</t>
  </si>
  <si>
    <t>操作步骤（在Excel中直接操作）：</t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</si>
  <si>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选中你的业务流程记录表全部数据（包括标题行）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</si>
  <si>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点击 插入 → 数据透视表 → 新建工作表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</si>
  <si>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在数据透视表字段中按以下方式拖拽：</t>
    </r>
  </si>
  <si>
    <t>推荐的数据透视表布局</t>
  </si>
  <si>
    <t>透视表名称：业务流程执行情况汇总表</t>
  </si>
  <si>
    <t>行标签</t>
  </si>
  <si>
    <t>列标签</t>
  </si>
  <si>
    <t>值</t>
  </si>
  <si>
    <t>筛选</t>
  </si>
  <si>
    <t>阶段</t>
  </si>
  <si>
    <t>状态</t>
  </si>
  <si>
    <t>完成率（平均值）</t>
  </si>
  <si>
    <t>业务编号</t>
  </si>
  <si>
    <t>具体步骤</t>
  </si>
  <si>
    <t>实际耗时(天)（求和）</t>
  </si>
  <si>
    <t>责任人</t>
  </si>
  <si>
    <t>计划耗时(天)（求和）</t>
  </si>
  <si>
    <t>关键度量值设置：</t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</si>
  <si>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完成率 → 平均值 → 格式为百分比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</si>
  <si>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实际耗时(天) → 求和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</si>
  <si>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计划耗时(天) → 求和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</si>
  <si>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异常数量 → 添加计算字段：=COUNTIF(状态,"异常")</t>
    </r>
  </si>
  <si>
    <t>2. 自动汇总报告区（公式参考）</t>
  </si>
  <si>
    <t>在记录表最后（比如第200行以下）添加以下汇总报告区域（直接复制公式）：</t>
  </si>
  <si>
    <t>项目</t>
  </si>
  <si>
    <t>公式（复制到对应单元格）</t>
  </si>
  <si>
    <t>结果示例</t>
  </si>
  <si>
    <t>总业务单数</t>
  </si>
  <si>
    <t>整体完成率</t>
  </si>
  <si>
    <t>平均实际耗时(天)</t>
  </si>
  <si>
    <t>总异常数量</t>
  </si>
  <si>
    <t>最长业务周期(天)</t>
  </si>
  <si>
    <t>最短业务周期(天)</t>
  </si>
  <si>
    <t>3. 一键生成PDF报告（VBA代码）</t>
  </si>
  <si>
    <t>在Excel中添加一个按钮实现一键生成报告：</t>
  </si>
  <si>
    <t>步骤：</t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</si>
  <si>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开发者工具 → 插入 → 按钮（窗体控件）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</si>
  <si>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右键按钮 → 指定宏 → 新建宏，输入以下VBA代码：</t>
    </r>
  </si>
  <si>
    <r>
      <t xml:space="preserve">Sub </t>
    </r>
    <r>
      <rPr>
        <sz val="9"/>
        <color theme="1"/>
        <rFont val="宋体"/>
        <charset val="134"/>
      </rPr>
      <t>生成业务报告</t>
    </r>
    <r>
      <rPr>
        <sz val="9"/>
        <color theme="1"/>
        <rFont val="Courier New"/>
        <charset val="134"/>
      </rPr>
      <t>()</t>
    </r>
  </si>
  <si>
    <t xml:space="preserve">    Dim ws As Worksheet</t>
  </si>
  <si>
    <r>
      <t xml:space="preserve">    Set ws = Sheets("</t>
    </r>
    <r>
      <rPr>
        <sz val="9"/>
        <color theme="1"/>
        <rFont val="宋体"/>
        <charset val="134"/>
      </rPr>
      <t>记录表</t>
    </r>
    <r>
      <rPr>
        <sz val="9"/>
        <color theme="1"/>
        <rFont val="Courier New"/>
        <charset val="134"/>
      </rPr>
      <t>")  '</t>
    </r>
    <r>
      <rPr>
        <sz val="9"/>
        <color theme="1"/>
        <rFont val="宋体"/>
        <charset val="134"/>
      </rPr>
      <t>修改为你的工作表名称</t>
    </r>
  </si>
  <si>
    <r>
      <t xml:space="preserve">    '</t>
    </r>
    <r>
      <rPr>
        <sz val="9"/>
        <color theme="1"/>
        <rFont val="宋体"/>
        <charset val="134"/>
      </rPr>
      <t>刷新所有透视表</t>
    </r>
  </si>
  <si>
    <t xml:space="preserve">    ThisWorkbook.RefreshAll</t>
  </si>
  <si>
    <r>
      <t xml:space="preserve">    '</t>
    </r>
    <r>
      <rPr>
        <sz val="9"/>
        <color theme="1"/>
        <rFont val="宋体"/>
        <charset val="134"/>
      </rPr>
      <t>打印设置</t>
    </r>
  </si>
  <si>
    <t xml:space="preserve">    With ws.PageSetup</t>
  </si>
  <si>
    <t xml:space="preserve">        .PrintArea = "$A$1:$O$150"</t>
  </si>
  <si>
    <t xml:space="preserve">        .Orientation = xlLandscape</t>
  </si>
  <si>
    <t xml:space="preserve">        .FitToPagesWide = 1</t>
  </si>
  <si>
    <t xml:space="preserve">        .FitToPagesTall = False</t>
  </si>
  <si>
    <t xml:space="preserve">    End With</t>
  </si>
  <si>
    <r>
      <t xml:space="preserve">    '</t>
    </r>
    <r>
      <rPr>
        <sz val="9"/>
        <color theme="1"/>
        <rFont val="宋体"/>
        <charset val="134"/>
      </rPr>
      <t>导出</t>
    </r>
    <r>
      <rPr>
        <sz val="9"/>
        <color theme="1"/>
        <rFont val="Courier New"/>
        <charset val="134"/>
      </rPr>
      <t>PDF</t>
    </r>
  </si>
  <si>
    <t xml:space="preserve">    ws.ExportAsFixedFormat Type:=xlTypePDF, _</t>
  </si>
  <si>
    <r>
      <t xml:space="preserve">        Filename:="</t>
    </r>
    <r>
      <rPr>
        <sz val="9"/>
        <color theme="1"/>
        <rFont val="宋体"/>
        <charset val="134"/>
      </rPr>
      <t>铜锭业务报告</t>
    </r>
    <r>
      <rPr>
        <sz val="9"/>
        <color theme="1"/>
        <rFont val="Courier New"/>
        <charset val="134"/>
      </rPr>
      <t>_" &amp; Format(Date, "yyyymmdd") &amp; ".pdf", _</t>
    </r>
  </si>
  <si>
    <t xml:space="preserve">        Quality:=xlQualityStandard, _</t>
  </si>
  <si>
    <t xml:space="preserve">        IncludeDocProperties:=True, _</t>
  </si>
  <si>
    <t xml:space="preserve">        IgnorePrintAreas:=False, _</t>
  </si>
  <si>
    <t xml:space="preserve">        OpenAfterPublish:=True</t>
  </si>
  <si>
    <t>End Sub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</si>
</sst>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8"/>
      <color rgb="FF1F497D"/>
      <name val="宋体"/>
      <charset val="134"/>
    </font>
    <font>
      <sz val="11"/>
      <color theme="1"/>
      <name val="宋体"/>
      <charset val="134"/>
    </font>
    <font>
      <b/>
      <sz val="15"/>
      <color rgb="FF2E74B5"/>
      <name val="宋体"/>
      <charset val="134"/>
    </font>
    <font>
      <b/>
      <sz val="11"/>
      <color theme="1"/>
      <name val="宋体"/>
      <charset val="134"/>
    </font>
    <font>
      <sz val="11"/>
      <color theme="1"/>
      <name val="Symbol"/>
      <charset val="134"/>
    </font>
    <font>
      <b/>
      <sz val="13"/>
      <color rgb="FF2E74B5"/>
      <name val="宋体"/>
      <charset val="134"/>
    </font>
    <font>
      <b/>
      <sz val="10"/>
      <color rgb="FFFFFFFF"/>
      <name val="宋体"/>
      <charset val="134"/>
    </font>
    <font>
      <sz val="10"/>
      <color theme="1"/>
      <name val="宋体"/>
      <charset val="134"/>
    </font>
    <font>
      <sz val="9"/>
      <color theme="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theme="1"/>
      <name val="Times New Roman"/>
      <charset val="134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2E74B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2" borderId="2" xfId="0" applyFont="1" applyFill="1" applyBorder="1" applyAlignment="1">
      <alignment vertical="top" wrapText="1"/>
    </xf>
    <xf numFmtId="0" fontId="10" fillId="0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10" fontId="10" fillId="3" borderId="3" xfId="0" applyNumberFormat="1" applyFont="1" applyFill="1" applyBorder="1" applyAlignment="1">
      <alignment vertical="top" wrapText="1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97"/>
  <sheetViews>
    <sheetView tabSelected="1" workbookViewId="0">
      <selection activeCell="A1" sqref="A1"/>
    </sheetView>
  </sheetViews>
  <sheetFormatPr defaultColWidth="11.3333333333333" defaultRowHeight="19.5" outlineLevelCol="5"/>
  <cols>
    <col min="1" max="16384" width="11.3333333333333" style="1"/>
  </cols>
  <sheetData>
    <row r="4" ht="25.5" spans="1:3">
      <c r="A4" s="2" t="s">
        <v>0</v>
      </c>
      <c r="C4" s="3" t="s">
        <v>1</v>
      </c>
    </row>
    <row r="5" ht="25.5" spans="1:3">
      <c r="C5" s="3" t="s">
        <v>2</v>
      </c>
    </row>
    <row r="7" ht="20.25" spans="1:3">
      <c r="C7" s="4" t="s">
        <v>0</v>
      </c>
    </row>
    <row r="9" spans="1:3">
      <c r="C9" s="5" t="s">
        <v>3</v>
      </c>
    </row>
    <row r="10" ht="22.5" spans="1:3">
      <c r="C10" s="6" t="s">
        <v>4</v>
      </c>
    </row>
    <row r="12" spans="1:3">
      <c r="C12" s="7" t="s">
        <v>5</v>
      </c>
    </row>
    <row r="14" spans="1:3">
      <c r="C14" s="8" t="s">
        <v>6</v>
      </c>
    </row>
    <row r="16" spans="1:3">
      <c r="C16" s="8" t="s">
        <v>7</v>
      </c>
    </row>
    <row r="18" spans="3:6">
      <c r="C18" s="8" t="s">
        <v>8</v>
      </c>
    </row>
    <row r="20" spans="3:6">
      <c r="C20" s="5" t="s">
        <v>0</v>
      </c>
    </row>
    <row r="21" spans="3:6">
      <c r="C21" s="9" t="s">
        <v>9</v>
      </c>
    </row>
    <row r="23" ht="20.25" spans="3:6">
      <c r="C23" s="5" t="s">
        <v>10</v>
      </c>
    </row>
    <row r="24" ht="20.25" spans="3:6">
      <c r="C24" s="10" t="s">
        <v>11</v>
      </c>
      <c r="D24" s="10" t="s">
        <v>12</v>
      </c>
      <c r="E24" s="10" t="s">
        <v>13</v>
      </c>
      <c r="F24" s="10" t="s">
        <v>14</v>
      </c>
    </row>
    <row r="25" ht="27.75" spans="3:6">
      <c r="C25" s="11" t="s">
        <v>15</v>
      </c>
      <c r="D25" s="11" t="s">
        <v>16</v>
      </c>
      <c r="E25" s="11" t="s">
        <v>17</v>
      </c>
      <c r="F25" s="11" t="s">
        <v>18</v>
      </c>
    </row>
    <row r="26" ht="27.75" spans="3:6">
      <c r="C26" s="12" t="s">
        <v>19</v>
      </c>
      <c r="D26" s="13"/>
      <c r="E26" s="12" t="s">
        <v>20</v>
      </c>
      <c r="F26" s="12" t="s">
        <v>21</v>
      </c>
    </row>
    <row r="27" ht="27.75" spans="3:6">
      <c r="C27" s="11" t="s">
        <v>21</v>
      </c>
      <c r="D27" s="14"/>
      <c r="E27" s="11" t="s">
        <v>22</v>
      </c>
      <c r="F27" s="14"/>
    </row>
    <row r="29" spans="3:6">
      <c r="C29" s="5" t="s">
        <v>0</v>
      </c>
    </row>
    <row r="31" spans="3:6">
      <c r="C31" s="7" t="s">
        <v>23</v>
      </c>
    </row>
    <row r="33" spans="3:3">
      <c r="C33" s="8" t="s">
        <v>24</v>
      </c>
    </row>
    <row r="35" spans="3:3">
      <c r="C35" s="8" t="s">
        <v>25</v>
      </c>
    </row>
    <row r="37" spans="3:3">
      <c r="C37" s="8" t="s">
        <v>26</v>
      </c>
    </row>
    <row r="39" spans="3:3">
      <c r="C39" s="8" t="s">
        <v>27</v>
      </c>
    </row>
    <row r="42" ht="22.5" spans="3:3">
      <c r="C42" s="6" t="s">
        <v>0</v>
      </c>
    </row>
    <row r="43" ht="22.5" spans="3:3">
      <c r="C43" s="6" t="s">
        <v>0</v>
      </c>
    </row>
    <row r="44" ht="22.5" spans="3:3">
      <c r="C44" s="6" t="s">
        <v>0</v>
      </c>
    </row>
    <row r="45" ht="22.5" spans="3:3">
      <c r="C45" s="6" t="s">
        <v>0</v>
      </c>
    </row>
    <row r="46" ht="22.5" spans="3:3">
      <c r="C46" s="6" t="s">
        <v>28</v>
      </c>
    </row>
    <row r="48" spans="3:3">
      <c r="C48" s="5" t="s">
        <v>29</v>
      </c>
    </row>
    <row r="50" ht="20.25" spans="3:5">
      <c r="C50" s="5" t="s">
        <v>0</v>
      </c>
    </row>
    <row r="51" ht="27.75" spans="3:5">
      <c r="C51" s="10" t="s">
        <v>30</v>
      </c>
      <c r="D51" s="10" t="s">
        <v>31</v>
      </c>
      <c r="E51" s="10" t="s">
        <v>32</v>
      </c>
    </row>
    <row r="52" ht="20.25" spans="3:5">
      <c r="C52" s="11" t="s">
        <v>33</v>
      </c>
      <c r="D52" s="11">
        <f>COUNTA(C5:C103)</f>
        <v>66</v>
      </c>
      <c r="E52" s="11">
        <v>8</v>
      </c>
    </row>
    <row r="53" ht="20.25" spans="3:5">
      <c r="C53" s="12" t="s">
        <v>34</v>
      </c>
      <c r="D53" s="12" t="e">
        <f>AVERAGE(N5:N103)</f>
        <v>#DIV/0!</v>
      </c>
      <c r="E53" s="15">
        <v>0.875</v>
      </c>
    </row>
    <row r="54" ht="27.75" spans="3:5">
      <c r="C54" s="11" t="s">
        <v>35</v>
      </c>
      <c r="D54" s="11" t="e">
        <f>AVERAGE(O5:O103)</f>
        <v>#DIV/0!</v>
      </c>
      <c r="E54" s="11">
        <v>12.4</v>
      </c>
    </row>
    <row r="55" ht="20.25" spans="3:5">
      <c r="C55" s="12" t="s">
        <v>36</v>
      </c>
      <c r="D55" s="12">
        <f>COUNTIF(M5:M103,"异常")</f>
        <v>0</v>
      </c>
      <c r="E55" s="12">
        <v>2</v>
      </c>
    </row>
    <row r="56" ht="27.75" spans="3:5">
      <c r="C56" s="11" t="s">
        <v>37</v>
      </c>
      <c r="D56" s="11">
        <f>MAX(O5:O103)</f>
        <v>0</v>
      </c>
      <c r="E56" s="11">
        <v>18</v>
      </c>
    </row>
    <row r="57" ht="27.75" spans="3:5">
      <c r="C57" s="12" t="s">
        <v>38</v>
      </c>
      <c r="D57" s="12">
        <f>MIN(O5:O103)</f>
        <v>0</v>
      </c>
      <c r="E57" s="12">
        <v>7</v>
      </c>
    </row>
    <row r="59" spans="3:5">
      <c r="C59" s="5" t="s">
        <v>0</v>
      </c>
    </row>
    <row r="62" ht="22.5" spans="3:5">
      <c r="C62" s="6" t="s">
        <v>0</v>
      </c>
    </row>
    <row r="63" ht="22.5" spans="3:5">
      <c r="C63" s="6" t="s">
        <v>0</v>
      </c>
    </row>
    <row r="64" ht="22.5" spans="3:5">
      <c r="C64" s="6" t="s">
        <v>0</v>
      </c>
    </row>
    <row r="65" ht="22.5" spans="3:3">
      <c r="C65" s="6" t="s">
        <v>0</v>
      </c>
    </row>
    <row r="66" ht="22.5" spans="3:3">
      <c r="C66" s="6" t="s">
        <v>39</v>
      </c>
    </row>
    <row r="68" spans="3:3">
      <c r="C68" s="7" t="s">
        <v>40</v>
      </c>
    </row>
    <row r="70" spans="3:3">
      <c r="C70" s="5" t="s">
        <v>41</v>
      </c>
    </row>
    <row r="72" spans="3:3">
      <c r="C72" s="8" t="s">
        <v>42</v>
      </c>
    </row>
    <row r="74" spans="3:3">
      <c r="C74" s="8" t="s">
        <v>43</v>
      </c>
    </row>
    <row r="76" spans="3:3">
      <c r="C76" s="5" t="s">
        <v>0</v>
      </c>
    </row>
    <row r="78" spans="3:3">
      <c r="C78" s="16" t="s">
        <v>44</v>
      </c>
    </row>
    <row r="79" spans="3:3">
      <c r="C79" s="16" t="s">
        <v>45</v>
      </c>
    </row>
    <row r="80" spans="3:3">
      <c r="C80" s="16" t="s">
        <v>46</v>
      </c>
    </row>
    <row r="81" spans="3:3">
      <c r="C81" s="16" t="s">
        <v>47</v>
      </c>
    </row>
    <row r="82" spans="3:3">
      <c r="C82" s="16" t="s">
        <v>48</v>
      </c>
    </row>
    <row r="83" spans="3:3">
      <c r="C83" s="16" t="s">
        <v>49</v>
      </c>
    </row>
    <row r="84" spans="3:3">
      <c r="C84" s="16" t="s">
        <v>50</v>
      </c>
    </row>
    <row r="85" spans="3:3">
      <c r="C85" s="16" t="s">
        <v>51</v>
      </c>
    </row>
    <row r="86" spans="3:3">
      <c r="C86" s="16" t="s">
        <v>52</v>
      </c>
    </row>
    <row r="87" spans="3:3">
      <c r="C87" s="16" t="s">
        <v>53</v>
      </c>
    </row>
    <row r="88" spans="3:3">
      <c r="C88" s="16" t="s">
        <v>54</v>
      </c>
    </row>
    <row r="89" spans="3:3">
      <c r="C89" s="16" t="s">
        <v>55</v>
      </c>
    </row>
    <row r="90" spans="3:3">
      <c r="C90" s="16" t="s">
        <v>56</v>
      </c>
    </row>
    <row r="91" spans="3:3">
      <c r="C91" s="16" t="s">
        <v>57</v>
      </c>
    </row>
    <row r="92" spans="3:3">
      <c r="C92" s="16" t="s">
        <v>58</v>
      </c>
    </row>
    <row r="93" spans="3:3">
      <c r="C93" s="16" t="s">
        <v>59</v>
      </c>
    </row>
    <row r="94" spans="3:3">
      <c r="C94" s="16" t="s">
        <v>60</v>
      </c>
    </row>
    <row r="95" spans="3:3">
      <c r="C95" s="16" t="s">
        <v>61</v>
      </c>
    </row>
    <row r="96" spans="3:3">
      <c r="C96" s="16" t="s">
        <v>62</v>
      </c>
    </row>
    <row r="97" spans="3:3">
      <c r="C97" s="16" t="s">
        <v>63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2026-05-10T13:56:35Z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AD26D4C1B6B2EC03131E006AFFCD98A9_41</vt:lpwstr>
  </property>
  <property fmtid="{D5CDD505-2E9C-101B-9397-08002B2CF9AE}" pid="3" name="KSOProductBuildVer">
    <vt:lpwstr>2052-12.9.0.26427</vt:lpwstr>
  </property>
  <property fmtid="{D5CDD505-2E9C-101B-9397-08002B2CF9AE}" pid="4" name="CalculationRule">
    <vt:i4>1</vt:i4>
  </property>
</Properties>
</file>